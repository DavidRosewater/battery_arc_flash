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defaultThemeVersion="166925"/>
  <mc:AlternateContent xmlns:mc="http://schemas.openxmlformats.org/markup-compatibility/2006">
    <mc:Choice Requires="x15">
      <x15ac:absPath xmlns:x15ac="http://schemas.microsoft.com/office/spreadsheetml/2010/11/ac" url="C:\Users\dmrose\Documents\ELC920\ELC140\IAS Electrical Safety Workshop\2024 paper\Article\"/>
    </mc:Choice>
  </mc:AlternateContent>
  <xr:revisionPtr revIDLastSave="0" documentId="13_ncr:1_{2F754DC5-D6DC-4683-8108-004FE6594376}" xr6:coauthVersionLast="47" xr6:coauthVersionMax="47" xr10:uidLastSave="{00000000-0000-0000-0000-000000000000}"/>
  <bookViews>
    <workbookView xWindow="7650" yWindow="1725" windowWidth="12255" windowHeight="5625" xr2:uid="{D4F21237-859F-409A-8BDE-62C477E4C1D5}"/>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1" l="1"/>
  <c r="B51" i="1"/>
  <c r="B50" i="1"/>
  <c r="B38" i="1"/>
  <c r="B37" i="1"/>
  <c r="B36" i="1"/>
  <c r="B27" i="1"/>
  <c r="B31" i="1"/>
  <c r="B46" i="1"/>
  <c r="B25" i="1"/>
  <c r="B22" i="1"/>
  <c r="B26" i="1" s="1"/>
  <c r="B32" i="1" l="1"/>
  <c r="B33" i="1"/>
  <c r="B13" i="1"/>
  <c r="B47" i="1"/>
  <c r="B21" i="1" l="1"/>
  <c r="B23" i="1" s="1"/>
  <c r="B34" i="1"/>
  <c r="B35" i="1" s="1"/>
  <c r="B24" i="1" l="1"/>
</calcChain>
</file>

<file path=xl/sharedStrings.xml><?xml version="1.0" encoding="utf-8"?>
<sst xmlns="http://schemas.openxmlformats.org/spreadsheetml/2006/main" count="69" uniqueCount="50">
  <si>
    <t>Battery cell resistance</t>
  </si>
  <si>
    <t>Cell connector resistance</t>
  </si>
  <si>
    <t>Number of connectors</t>
  </si>
  <si>
    <t>Calculated short circuit current</t>
  </si>
  <si>
    <t xml:space="preserve">Battery Nominal Voltage = </t>
  </si>
  <si>
    <t>Calculation of Short Circuit Current</t>
  </si>
  <si>
    <t>Battery Short Circuit Current =</t>
  </si>
  <si>
    <t>V</t>
  </si>
  <si>
    <t>A</t>
  </si>
  <si>
    <t>Total string resistance</t>
  </si>
  <si>
    <t xml:space="preserve">User input field </t>
  </si>
  <si>
    <t>calculated field</t>
  </si>
  <si>
    <t xml:space="preserve">Gap in the Battery Circuit = </t>
  </si>
  <si>
    <t>mm</t>
  </si>
  <si>
    <t>Results</t>
  </si>
  <si>
    <t>Battery Circuit Resistance =</t>
  </si>
  <si>
    <t>Ω</t>
  </si>
  <si>
    <t>Goal seek to 0</t>
  </si>
  <si>
    <t>Arc Current (Goal Seek Input)</t>
  </si>
  <si>
    <t>#</t>
  </si>
  <si>
    <t>s</t>
  </si>
  <si>
    <t>cal/cm^2</t>
  </si>
  <si>
    <t>Units</t>
  </si>
  <si>
    <t>Value</t>
  </si>
  <si>
    <t>Arc Time (if no OCP use 2 s) =</t>
  </si>
  <si>
    <t>arc-in-a-box factor (1 or 1.6) =</t>
  </si>
  <si>
    <t>Battery Circuit Data Input</t>
  </si>
  <si>
    <t>Constants</t>
  </si>
  <si>
    <t xml:space="preserve">cm / in </t>
  </si>
  <si>
    <t>Input Error Checking</t>
  </si>
  <si>
    <t xml:space="preserve">Max Power Transfer IE [1] </t>
  </si>
  <si>
    <t>none</t>
  </si>
  <si>
    <t xml:space="preserve">Battery Arc Voltage </t>
  </si>
  <si>
    <t>Air Arc Voltage</t>
  </si>
  <si>
    <t>Number of cells in Series</t>
  </si>
  <si>
    <t>Number of strings in parallel</t>
  </si>
  <si>
    <t>Max Power Transfer Arc Boundry [1]</t>
  </si>
  <si>
    <t xml:space="preserve">Ammerman [2] (S&amp;O [3]) IE </t>
  </si>
  <si>
    <t xml:space="preserve">Ammerman [2] (S&amp;O [3]) Arc Boundry  </t>
  </si>
  <si>
    <t>cm</t>
  </si>
  <si>
    <t>Contact Thermal Hazard</t>
  </si>
  <si>
    <t>W</t>
  </si>
  <si>
    <t>Contact Thermal PPE</t>
  </si>
  <si>
    <t>Limited Approach Boundry</t>
  </si>
  <si>
    <t>Restricted Approach Boundry</t>
  </si>
  <si>
    <t>Shock PPE</t>
  </si>
  <si>
    <t>Arc Current Calculation</t>
  </si>
  <si>
    <t>1 / 4 pi</t>
  </si>
  <si>
    <t xml:space="preserve">cal/J </t>
  </si>
  <si>
    <t>Working Distance (use 45.72 cm)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</si>
</sst>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
  </numFmts>
  <fonts count="6" x14ac:knownFonts="1">
    <font>
      <sz val="11"/>
      <color theme="1"/>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b/>
      <sz val="11"/>
      <color theme="1"/>
      <name val="Calibri"/>
      <family val="2"/>
      <scheme val="minor"/>
    </font>
    <font>
      <sz val="11"/>
      <color theme="1"/>
      <name val="Calibri"/>
      <family val="2"/>
    </font>
  </fonts>
  <fills count="4">
    <fill>
      <patternFill patternType="none"/>
    </fill>
    <fill>
      <patternFill patternType="gray125"/>
    </fill>
    <fill>
      <patternFill patternType="solid">
        <fgColor rgb="FFFFCC99"/>
      </patternFill>
    </fill>
    <fill>
      <patternFill patternType="solid">
        <fgColor rgb="FFF2F2F2"/>
      </patternFill>
    </fill>
  </fills>
  <borders count="3">
    <border>
      <left/>
      <right/>
      <top/>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s>
  <cellStyleXfs count="4">
    <xf numFmtId="0" fontId="0" fillId="0" borderId="0"/>
    <xf numFmtId="0" fontId="1" fillId="2" borderId="1" applyNumberFormat="0" applyAlignment="0" applyProtection="0"/>
    <xf numFmtId="0" fontId="2" fillId="3" borderId="1" applyNumberFormat="0" applyAlignment="0" applyProtection="0"/>
    <xf numFmtId="0" fontId="3" fillId="0" borderId="2" applyNumberFormat="0" applyFill="0" applyAlignment="0" applyProtection="0"/>
  </cellStyleXfs>
  <cellXfs count="20">
    <xf numFmtId="0" fontId="0" fillId="0" borderId="0" xfId="0"/>
    <xf numFmtId="0" fontId="4" fillId="0" borderId="0" xfId="0" applyFont="1"/>
    <xf numFmtId="0" fontId="1" fillId="2" borderId="1" xfId="1"/>
    <xf numFmtId="0" fontId="2" fillId="3" borderId="1" xfId="2"/>
    <xf numFmtId="0" fontId="5" fillId="0" borderId="0" xfId="0" applyFont="1"/>
    <xf numFmtId="0" fontId="5" fillId="0" borderId="0" xfId="0" applyFont="1" applyFill="1" applyBorder="1"/>
    <xf numFmtId="2" fontId="0" fillId="0" borderId="0" xfId="0" applyNumberFormat="1"/>
    <xf numFmtId="2" fontId="1" fillId="2" borderId="1" xfId="1" applyNumberFormat="1"/>
    <xf numFmtId="2" fontId="2" fillId="3" borderId="1" xfId="2" applyNumberFormat="1"/>
    <xf numFmtId="2" fontId="3" fillId="0" borderId="2" xfId="3" applyNumberFormat="1"/>
    <xf numFmtId="2" fontId="1" fillId="2" borderId="0" xfId="1" applyNumberFormat="1" applyBorder="1"/>
    <xf numFmtId="1" fontId="1" fillId="2" borderId="1" xfId="1" applyNumberFormat="1"/>
    <xf numFmtId="2" fontId="4" fillId="0" borderId="0" xfId="0" applyNumberFormat="1" applyFont="1"/>
    <xf numFmtId="0" fontId="0" fillId="0" borderId="0" xfId="0" quotePrefix="1"/>
    <xf numFmtId="164" fontId="2" fillId="3" borderId="1" xfId="2" applyNumberFormat="1"/>
    <xf numFmtId="164" fontId="1" fillId="2" borderId="1" xfId="1" applyNumberFormat="1"/>
    <xf numFmtId="1" fontId="2" fillId="3" borderId="1" xfId="2" applyNumberFormat="1"/>
    <xf numFmtId="3" fontId="2" fillId="3" borderId="1" xfId="2" applyNumberFormat="1"/>
    <xf numFmtId="2" fontId="2" fillId="3" borderId="1" xfId="2" applyNumberFormat="1" applyAlignment="1">
      <alignment horizontal="right"/>
    </xf>
    <xf numFmtId="2" fontId="2" fillId="3" borderId="1" xfId="2" applyNumberFormat="1" applyAlignment="1">
      <alignment horizontal="left"/>
    </xf>
  </cellXfs>
  <cellStyles count="4">
    <cellStyle name="Calculation" xfId="2" builtinId="22"/>
    <cellStyle name="Input" xfId="1" builtinId="20"/>
    <cellStyle name="Linked Cell" xfId="3" builtinId="24"/>
    <cellStyle name="Normal" xfId="0" builtinId="0"/>
  </cellStyles>
  <dxfs count="8">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140529</xdr:colOff>
      <xdr:row>1</xdr:row>
      <xdr:rowOff>38100</xdr:rowOff>
    </xdr:from>
    <xdr:to>
      <xdr:col>4</xdr:col>
      <xdr:colOff>556846</xdr:colOff>
      <xdr:row>4</xdr:row>
      <xdr:rowOff>129540</xdr:rowOff>
    </xdr:to>
    <xdr:sp macro="" textlink="">
      <xdr:nvSpPr>
        <xdr:cNvPr id="2" name="Rectangle 1">
          <a:extLst>
            <a:ext uri="{FF2B5EF4-FFF2-40B4-BE49-F238E27FC236}">
              <a16:creationId xmlns:a16="http://schemas.microsoft.com/office/drawing/2014/main" id="{FF2806FD-1A58-38DF-D944-6EDB3B2B8A40}"/>
            </a:ext>
          </a:extLst>
        </xdr:cNvPr>
        <xdr:cNvSpPr/>
      </xdr:nvSpPr>
      <xdr:spPr>
        <a:xfrm>
          <a:off x="140529" y="228600"/>
          <a:ext cx="5490211" cy="662940"/>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baseline="0">
              <a:solidFill>
                <a:schemeClr val="tx1"/>
              </a:solidFill>
            </a:rPr>
            <a:t>Simple Battery Hazard Calculator</a:t>
          </a:r>
        </a:p>
        <a:p>
          <a:pPr algn="l"/>
          <a:r>
            <a:rPr lang="en-US" sz="1600" b="0">
              <a:solidFill>
                <a:schemeClr val="tx1"/>
              </a:solidFill>
            </a:rPr>
            <a:t>Developed by David Rosewater (Sandia</a:t>
          </a:r>
          <a:r>
            <a:rPr lang="en-US" sz="1600" b="0" baseline="0">
              <a:solidFill>
                <a:schemeClr val="tx1"/>
              </a:solidFill>
            </a:rPr>
            <a:t> National Laboratories)</a:t>
          </a:r>
          <a:endParaRPr lang="en-US" sz="1600" b="0">
            <a:solidFill>
              <a:schemeClr val="tx1"/>
            </a:solidFill>
          </a:endParaRPr>
        </a:p>
      </xdr:txBody>
    </xdr:sp>
    <xdr:clientData/>
  </xdr:twoCellAnchor>
  <xdr:twoCellAnchor editAs="oneCell">
    <xdr:from>
      <xdr:col>12</xdr:col>
      <xdr:colOff>52581</xdr:colOff>
      <xdr:row>18</xdr:row>
      <xdr:rowOff>52381</xdr:rowOff>
    </xdr:from>
    <xdr:to>
      <xdr:col>16</xdr:col>
      <xdr:colOff>401196</xdr:colOff>
      <xdr:row>20</xdr:row>
      <xdr:rowOff>171845</xdr:rowOff>
    </xdr:to>
    <xdr:pic>
      <xdr:nvPicPr>
        <xdr:cNvPr id="4" name="Picture 3">
          <a:extLst>
            <a:ext uri="{FF2B5EF4-FFF2-40B4-BE49-F238E27FC236}">
              <a16:creationId xmlns:a16="http://schemas.microsoft.com/office/drawing/2014/main" id="{766B01A2-48F4-388D-A19E-70C80B9505B4}"/>
            </a:ext>
          </a:extLst>
        </xdr:cNvPr>
        <xdr:cNvPicPr>
          <a:picLocks noChangeAspect="1"/>
        </xdr:cNvPicPr>
      </xdr:nvPicPr>
      <xdr:blipFill>
        <a:blip xmlns:r="http://schemas.openxmlformats.org/officeDocument/2006/relationships" r:embed="rId1"/>
        <a:stretch>
          <a:fillRect/>
        </a:stretch>
      </xdr:blipFill>
      <xdr:spPr>
        <a:xfrm>
          <a:off x="10727908" y="3349496"/>
          <a:ext cx="2894574" cy="496947"/>
        </a:xfrm>
        <a:prstGeom prst="rect">
          <a:avLst/>
        </a:prstGeom>
      </xdr:spPr>
    </xdr:pic>
    <xdr:clientData/>
  </xdr:twoCellAnchor>
  <xdr:twoCellAnchor>
    <xdr:from>
      <xdr:col>4</xdr:col>
      <xdr:colOff>214314</xdr:colOff>
      <xdr:row>5</xdr:row>
      <xdr:rowOff>111919</xdr:rowOff>
    </xdr:from>
    <xdr:to>
      <xdr:col>11</xdr:col>
      <xdr:colOff>328613</xdr:colOff>
      <xdr:row>33</xdr:row>
      <xdr:rowOff>45720</xdr:rowOff>
    </xdr:to>
    <xdr:sp macro="" textlink="">
      <xdr:nvSpPr>
        <xdr:cNvPr id="5" name="Rectangle 4">
          <a:extLst>
            <a:ext uri="{FF2B5EF4-FFF2-40B4-BE49-F238E27FC236}">
              <a16:creationId xmlns:a16="http://schemas.microsoft.com/office/drawing/2014/main" id="{59A9C1B9-FF4A-4191-B5ED-BC32D0166AE1}"/>
            </a:ext>
          </a:extLst>
        </xdr:cNvPr>
        <xdr:cNvSpPr/>
      </xdr:nvSpPr>
      <xdr:spPr>
        <a:xfrm>
          <a:off x="5786439" y="1004888"/>
          <a:ext cx="4573190" cy="4982051"/>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a:solidFill>
                <a:schemeClr val="tx1"/>
              </a:solidFill>
              <a:effectLst/>
              <a:latin typeface="+mn-lt"/>
              <a:ea typeface="+mn-ea"/>
              <a:cs typeface="+mn-cs"/>
            </a:rPr>
            <a:t>Directions</a:t>
          </a:r>
          <a:endParaRPr lang="en-US" sz="1100" b="1">
            <a:solidFill>
              <a:schemeClr val="tx1"/>
            </a:solidFill>
            <a:effectLst/>
            <a:latin typeface="+mn-lt"/>
            <a:ea typeface="+mn-ea"/>
            <a:cs typeface="+mn-cs"/>
          </a:endParaRPr>
        </a:p>
        <a:p>
          <a:r>
            <a:rPr lang="en-US" sz="1100" b="1">
              <a:solidFill>
                <a:schemeClr val="tx1"/>
              </a:solidFill>
              <a:effectLst/>
              <a:latin typeface="+mn-lt"/>
              <a:ea typeface="+mn-ea"/>
              <a:cs typeface="+mn-cs"/>
            </a:rPr>
            <a:t>Step</a:t>
          </a:r>
          <a:r>
            <a:rPr lang="en-US" sz="1100" b="1" baseline="0">
              <a:solidFill>
                <a:schemeClr val="tx1"/>
              </a:solidFill>
              <a:effectLst/>
              <a:latin typeface="+mn-lt"/>
              <a:ea typeface="+mn-ea"/>
              <a:cs typeface="+mn-cs"/>
            </a:rPr>
            <a:t> 1: Battery Circuit Data Input</a:t>
          </a:r>
        </a:p>
        <a:p>
          <a:r>
            <a:rPr lang="en-US" sz="1100" baseline="0">
              <a:solidFill>
                <a:schemeClr val="tx1"/>
              </a:solidFill>
              <a:effectLst/>
              <a:latin typeface="+mn-lt"/>
              <a:ea typeface="+mn-ea"/>
              <a:cs typeface="+mn-cs"/>
            </a:rPr>
            <a:t>-Fill out the battery voltage and short circuit current. If short circuit current is not known, then fill out the Calculation of Short Circuit Current section at the bottom of this sheet. Then copy the calculated short circuit current into field B12.</a:t>
          </a:r>
        </a:p>
        <a:p>
          <a:r>
            <a:rPr lang="en-US" sz="1100" baseline="0">
              <a:solidFill>
                <a:schemeClr val="tx1"/>
              </a:solidFill>
              <a:effectLst/>
              <a:latin typeface="+mn-lt"/>
              <a:ea typeface="+mn-ea"/>
              <a:cs typeface="+mn-cs"/>
            </a:rPr>
            <a:t>-Fill out the arc time (Based on the overcurrent protection (OCP) trip curve). If no OCP is in the battery circuit then use 2 seconds.</a:t>
          </a:r>
        </a:p>
        <a:p>
          <a:r>
            <a:rPr lang="en-US" sz="1100" baseline="0">
              <a:solidFill>
                <a:schemeClr val="tx1"/>
              </a:solidFill>
              <a:effectLst/>
              <a:latin typeface="+mn-lt"/>
              <a:ea typeface="+mn-ea"/>
              <a:cs typeface="+mn-cs"/>
            </a:rPr>
            <a:t>-Fill out the arc gap and the arc-in-a-box multiplication factor. </a:t>
          </a:r>
        </a:p>
        <a:p>
          <a:r>
            <a:rPr lang="en-US" sz="1100" b="1" baseline="0">
              <a:solidFill>
                <a:schemeClr val="tx1"/>
              </a:solidFill>
              <a:effectLst/>
              <a:latin typeface="+mn-lt"/>
              <a:ea typeface="+mn-ea"/>
              <a:cs typeface="+mn-cs"/>
            </a:rPr>
            <a:t>Step 2: Calculation</a:t>
          </a:r>
        </a:p>
        <a:p>
          <a:r>
            <a:rPr lang="en-US" sz="1100">
              <a:solidFill>
                <a:schemeClr val="tx1"/>
              </a:solidFill>
              <a:effectLst/>
              <a:latin typeface="+mn-lt"/>
              <a:ea typeface="+mn-ea"/>
              <a:cs typeface="+mn-cs"/>
            </a:rPr>
            <a:t>-Click the SOLVE</a:t>
          </a:r>
          <a:r>
            <a:rPr lang="en-US" sz="1100" baseline="0">
              <a:solidFill>
                <a:schemeClr val="tx1"/>
              </a:solidFill>
              <a:effectLst/>
              <a:latin typeface="+mn-lt"/>
              <a:ea typeface="+mn-ea"/>
              <a:cs typeface="+mn-cs"/>
            </a:rPr>
            <a:t> button</a:t>
          </a:r>
        </a:p>
        <a:p>
          <a:endParaRPr lang="en-US" sz="1100" baseline="0">
            <a:solidFill>
              <a:schemeClr val="tx1"/>
            </a:solidFill>
            <a:effectLst/>
            <a:latin typeface="+mn-lt"/>
            <a:ea typeface="+mn-ea"/>
            <a:cs typeface="+mn-cs"/>
          </a:endParaRPr>
        </a:p>
        <a:p>
          <a:endParaRPr lang="en-US" sz="1100" baseline="0">
            <a:solidFill>
              <a:schemeClr val="tx1"/>
            </a:solidFill>
            <a:effectLst/>
            <a:latin typeface="+mn-lt"/>
            <a:ea typeface="+mn-ea"/>
            <a:cs typeface="+mn-cs"/>
          </a:endParaRPr>
        </a:p>
        <a:p>
          <a:endParaRPr lang="en-US" sz="1100" baseline="0">
            <a:solidFill>
              <a:schemeClr val="tx1"/>
            </a:solidFill>
            <a:effectLst/>
            <a:latin typeface="+mn-lt"/>
            <a:ea typeface="+mn-ea"/>
            <a:cs typeface="+mn-cs"/>
          </a:endParaRPr>
        </a:p>
        <a:p>
          <a:endParaRPr lang="en-US" sz="1100" baseline="0">
            <a:solidFill>
              <a:schemeClr val="tx1"/>
            </a:solidFill>
            <a:effectLst/>
            <a:latin typeface="+mn-lt"/>
            <a:ea typeface="+mn-ea"/>
            <a:cs typeface="+mn-cs"/>
          </a:endParaRPr>
        </a:p>
        <a:p>
          <a:r>
            <a:rPr lang="en-US" sz="1100" baseline="0">
              <a:solidFill>
                <a:schemeClr val="tx1"/>
              </a:solidFill>
              <a:effectLst/>
              <a:latin typeface="+mn-lt"/>
              <a:ea typeface="+mn-ea"/>
              <a:cs typeface="+mn-cs"/>
            </a:rPr>
            <a:t>This solve button Runs a Macro to perform a goal seek to set B23 (the difference between the battery voltage and the arc voltage) to zero by changing B20 (the arc current).  Once B23 = 0, the arc current and arc voltage fields are correct and the results can be read. </a:t>
          </a:r>
        </a:p>
        <a:p>
          <a:r>
            <a:rPr lang="en-US" sz="1100" baseline="0">
              <a:solidFill>
                <a:schemeClr val="tx1"/>
              </a:solidFill>
              <a:effectLst/>
              <a:latin typeface="+mn-lt"/>
              <a:ea typeface="+mn-ea"/>
              <a:cs typeface="+mn-cs"/>
            </a:rPr>
            <a:t>-the Input Error Checking fields will warn you if one of the inputs invalidates the calculation. </a:t>
          </a:r>
          <a:endParaRPr lang="en-US">
            <a:solidFill>
              <a:schemeClr val="tx1"/>
            </a:solidFill>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tx1"/>
              </a:solidFill>
              <a:effectLst/>
              <a:latin typeface="+mn-lt"/>
              <a:ea typeface="+mn-ea"/>
              <a:cs typeface="+mn-cs"/>
            </a:rPr>
            <a:t>Step 3: Results</a:t>
          </a:r>
          <a:endParaRPr lang="en-US">
            <a:solidFill>
              <a:schemeClr val="tx1"/>
            </a:solidFill>
            <a:effectLst/>
          </a:endParaRPr>
        </a:p>
        <a:p>
          <a:r>
            <a:rPr lang="en-US" sz="1100" baseline="0">
              <a:solidFill>
                <a:schemeClr val="tx1"/>
              </a:solidFill>
              <a:effectLst/>
              <a:latin typeface="+mn-lt"/>
              <a:ea typeface="+mn-ea"/>
              <a:cs typeface="+mn-cs"/>
            </a:rPr>
            <a:t>-The Max Power Transfer method does not consider the arc gap and has been shown to be overly conservative. Generally, this should not be used unless the gap length is completely unknown. </a:t>
          </a:r>
        </a:p>
        <a:p>
          <a:r>
            <a:rPr lang="en-US" sz="1100" baseline="0">
              <a:solidFill>
                <a:schemeClr val="tx1"/>
              </a:solidFill>
              <a:effectLst/>
              <a:latin typeface="+mn-lt"/>
              <a:ea typeface="+mn-ea"/>
              <a:cs typeface="+mn-cs"/>
            </a:rPr>
            <a:t>-The Ammerman Method, which relies on a model developed by Stokes and Oppenlander, considers the arc gap resistance but does not consider magnetic forces or electrode erosion. </a:t>
          </a:r>
        </a:p>
      </xdr:txBody>
    </xdr:sp>
    <xdr:clientData/>
  </xdr:twoCellAnchor>
  <xdr:twoCellAnchor>
    <xdr:from>
      <xdr:col>3</xdr:col>
      <xdr:colOff>85725</xdr:colOff>
      <xdr:row>19</xdr:row>
      <xdr:rowOff>85724</xdr:rowOff>
    </xdr:from>
    <xdr:to>
      <xdr:col>3</xdr:col>
      <xdr:colOff>781050</xdr:colOff>
      <xdr:row>22</xdr:row>
      <xdr:rowOff>123825</xdr:rowOff>
    </xdr:to>
    <xdr:sp macro="[0]!Solve" textlink="">
      <xdr:nvSpPr>
        <xdr:cNvPr id="9" name="Rectangle 8">
          <a:extLst>
            <a:ext uri="{FF2B5EF4-FFF2-40B4-BE49-F238E27FC236}">
              <a16:creationId xmlns:a16="http://schemas.microsoft.com/office/drawing/2014/main" id="{96950A52-33AE-372B-FFC6-BB1FAE9980B9}"/>
            </a:ext>
          </a:extLst>
        </xdr:cNvPr>
        <xdr:cNvSpPr/>
      </xdr:nvSpPr>
      <xdr:spPr>
        <a:xfrm>
          <a:off x="3762375" y="3705224"/>
          <a:ext cx="695325" cy="628651"/>
        </a:xfrm>
        <a:prstGeom prst="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endParaRPr lang="en-US" sz="1100"/>
        </a:p>
        <a:p>
          <a:pPr algn="ctr"/>
          <a:r>
            <a:rPr lang="en-US" sz="1100" b="1"/>
            <a:t>SOLVE</a:t>
          </a:r>
        </a:p>
      </xdr:txBody>
    </xdr:sp>
    <xdr:clientData/>
  </xdr:twoCellAnchor>
  <xdr:twoCellAnchor editAs="oneCell">
    <xdr:from>
      <xdr:col>4</xdr:col>
      <xdr:colOff>275966</xdr:colOff>
      <xdr:row>16</xdr:row>
      <xdr:rowOff>152874</xdr:rowOff>
    </xdr:from>
    <xdr:to>
      <xdr:col>5</xdr:col>
      <xdr:colOff>401379</xdr:colOff>
      <xdr:row>20</xdr:row>
      <xdr:rowOff>55962</xdr:rowOff>
    </xdr:to>
    <xdr:pic>
      <xdr:nvPicPr>
        <xdr:cNvPr id="10" name="Picture 9">
          <a:extLst>
            <a:ext uri="{FF2B5EF4-FFF2-40B4-BE49-F238E27FC236}">
              <a16:creationId xmlns:a16="http://schemas.microsoft.com/office/drawing/2014/main" id="{88E6CE35-4DD8-A96A-AB0B-93E3E93603BD}"/>
            </a:ext>
          </a:extLst>
        </xdr:cNvPr>
        <xdr:cNvPicPr>
          <a:picLocks noChangeAspect="1"/>
        </xdr:cNvPicPr>
      </xdr:nvPicPr>
      <xdr:blipFill>
        <a:blip xmlns:r="http://schemas.openxmlformats.org/officeDocument/2006/relationships" r:embed="rId2"/>
        <a:stretch>
          <a:fillRect/>
        </a:stretch>
      </xdr:blipFill>
      <xdr:spPr>
        <a:xfrm>
          <a:off x="5851754" y="3083643"/>
          <a:ext cx="759046" cy="643107"/>
        </a:xfrm>
        <a:prstGeom prst="rect">
          <a:avLst/>
        </a:prstGeom>
      </xdr:spPr>
    </xdr:pic>
    <xdr:clientData/>
  </xdr:twoCellAnchor>
  <xdr:twoCellAnchor>
    <xdr:from>
      <xdr:col>4</xdr:col>
      <xdr:colOff>214836</xdr:colOff>
      <xdr:row>33</xdr:row>
      <xdr:rowOff>119168</xdr:rowOff>
    </xdr:from>
    <xdr:to>
      <xdr:col>11</xdr:col>
      <xdr:colOff>336471</xdr:colOff>
      <xdr:row>44</xdr:row>
      <xdr:rowOff>75486</xdr:rowOff>
    </xdr:to>
    <xdr:sp macro="" textlink="">
      <xdr:nvSpPr>
        <xdr:cNvPr id="12" name="Rectangle 11">
          <a:extLst>
            <a:ext uri="{FF2B5EF4-FFF2-40B4-BE49-F238E27FC236}">
              <a16:creationId xmlns:a16="http://schemas.microsoft.com/office/drawing/2014/main" id="{2106EBA8-0F9C-451A-BB2B-DD7903CDD991}"/>
            </a:ext>
          </a:extLst>
        </xdr:cNvPr>
        <xdr:cNvSpPr/>
      </xdr:nvSpPr>
      <xdr:spPr>
        <a:xfrm>
          <a:off x="5786961" y="6060387"/>
          <a:ext cx="4580526" cy="1920849"/>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a:solidFill>
                <a:schemeClr val="tx1"/>
              </a:solidFill>
              <a:effectLst/>
              <a:latin typeface="+mn-lt"/>
              <a:ea typeface="+mn-ea"/>
              <a:cs typeface="+mn-cs"/>
            </a:rPr>
            <a:t>References</a:t>
          </a:r>
          <a:endParaRPr lang="en-US" sz="1100" b="1">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tx1"/>
              </a:solidFill>
              <a:effectLst/>
              <a:latin typeface="+mn-lt"/>
              <a:ea typeface="+mn-ea"/>
              <a:cs typeface="+mn-cs"/>
            </a:rPr>
            <a:t>[1] </a:t>
          </a:r>
          <a:r>
            <a:rPr lang="en-US" sz="1100">
              <a:solidFill>
                <a:schemeClr val="tx1"/>
              </a:solidFill>
              <a:effectLst/>
              <a:latin typeface="+mn-lt"/>
              <a:ea typeface="+mn-ea"/>
              <a:cs typeface="+mn-cs"/>
            </a:rPr>
            <a:t>Doan, D. R., “Arc Flash Calculations for Exposures to DC Systems,” IEEE Transactions on Industry Applications, vol. 46, no. 6, pp. 2299–2302, November/December 2010.</a:t>
          </a:r>
        </a:p>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tx1"/>
              </a:solidFill>
              <a:effectLst/>
              <a:latin typeface="+mn-lt"/>
              <a:ea typeface="+mn-ea"/>
              <a:cs typeface="+mn-cs"/>
            </a:rPr>
            <a:t>[2]  </a:t>
          </a:r>
          <a:r>
            <a:rPr lang="en-US" sz="1100">
              <a:solidFill>
                <a:schemeClr val="tx1"/>
              </a:solidFill>
              <a:effectLst/>
              <a:latin typeface="+mn-lt"/>
              <a:ea typeface="+mn-ea"/>
              <a:cs typeface="+mn-cs"/>
            </a:rPr>
            <a:t>R. F. Ammerman, T. Gammon, P. K. Sen, and J. P. Nelson, “DC-Arc Models and Incident-Energy Calculations,” in IEEE Transactions on Industry Applications, vol. 46, no. 5, pp. 1810-1819, Sept.-Oct. 2010, doi: 10.1109/TIA.2010.2057497.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[3] A. D. Stokes and W. T. Oppenlander, ``Electric arcs in open air,'' J. Phys. D: Appl. Phys. Vol 24, pp. 26-35, 6 April 1990</a:t>
          </a:r>
        </a:p>
      </xdr:txBody>
    </xdr:sp>
    <xdr:clientData/>
  </xdr:twoCellAnchor>
  <xdr:twoCellAnchor editAs="oneCell">
    <xdr:from>
      <xdr:col>11</xdr:col>
      <xdr:colOff>529004</xdr:colOff>
      <xdr:row>5</xdr:row>
      <xdr:rowOff>99939</xdr:rowOff>
    </xdr:from>
    <xdr:to>
      <xdr:col>16</xdr:col>
      <xdr:colOff>113714</xdr:colOff>
      <xdr:row>14</xdr:row>
      <xdr:rowOff>133594</xdr:rowOff>
    </xdr:to>
    <xdr:pic>
      <xdr:nvPicPr>
        <xdr:cNvPr id="13" name="Picture 12">
          <a:extLst>
            <a:ext uri="{FF2B5EF4-FFF2-40B4-BE49-F238E27FC236}">
              <a16:creationId xmlns:a16="http://schemas.microsoft.com/office/drawing/2014/main" id="{500F4C73-30EF-8092-83E7-13D94260E2AA}"/>
            </a:ext>
          </a:extLst>
        </xdr:cNvPr>
        <xdr:cNvPicPr>
          <a:picLocks noChangeAspect="1"/>
        </xdr:cNvPicPr>
      </xdr:nvPicPr>
      <xdr:blipFill>
        <a:blip xmlns:r="http://schemas.openxmlformats.org/officeDocument/2006/relationships" r:embed="rId3"/>
        <a:stretch>
          <a:fillRect/>
        </a:stretch>
      </xdr:blipFill>
      <xdr:spPr>
        <a:xfrm>
          <a:off x="10566889" y="1015804"/>
          <a:ext cx="2768111" cy="1678403"/>
        </a:xfrm>
        <a:prstGeom prst="rect">
          <a:avLst/>
        </a:prstGeom>
        <a:solidFill>
          <a:schemeClr val="bg1"/>
        </a:solidFill>
      </xdr:spPr>
    </xdr:pic>
    <xdr:clientData/>
  </xdr:twoCellAnchor>
  <xdr:twoCellAnchor editAs="oneCell">
    <xdr:from>
      <xdr:col>11</xdr:col>
      <xdr:colOff>490904</xdr:colOff>
      <xdr:row>14</xdr:row>
      <xdr:rowOff>141848</xdr:rowOff>
    </xdr:from>
    <xdr:to>
      <xdr:col>16</xdr:col>
      <xdr:colOff>189914</xdr:colOff>
      <xdr:row>17</xdr:row>
      <xdr:rowOff>173056</xdr:rowOff>
    </xdr:to>
    <xdr:pic>
      <xdr:nvPicPr>
        <xdr:cNvPr id="14" name="Picture 13">
          <a:extLst>
            <a:ext uri="{FF2B5EF4-FFF2-40B4-BE49-F238E27FC236}">
              <a16:creationId xmlns:a16="http://schemas.microsoft.com/office/drawing/2014/main" id="{3244F5CF-EE17-8006-A369-87F0A3C1A38D}"/>
            </a:ext>
          </a:extLst>
        </xdr:cNvPr>
        <xdr:cNvPicPr>
          <a:picLocks noChangeAspect="1"/>
        </xdr:cNvPicPr>
      </xdr:nvPicPr>
      <xdr:blipFill>
        <a:blip xmlns:r="http://schemas.openxmlformats.org/officeDocument/2006/relationships" r:embed="rId4"/>
        <a:stretch>
          <a:fillRect/>
        </a:stretch>
      </xdr:blipFill>
      <xdr:spPr>
        <a:xfrm>
          <a:off x="10528789" y="2706271"/>
          <a:ext cx="2882411" cy="576917"/>
        </a:xfrm>
        <a:prstGeom prst="rect">
          <a:avLst/>
        </a:prstGeom>
      </xdr:spPr>
    </xdr:pic>
    <xdr:clientData/>
  </xdr:twoCellAnchor>
  <xdr:twoCellAnchor editAs="oneCell">
    <xdr:from>
      <xdr:col>12</xdr:col>
      <xdr:colOff>415884</xdr:colOff>
      <xdr:row>21</xdr:row>
      <xdr:rowOff>159838</xdr:rowOff>
    </xdr:from>
    <xdr:to>
      <xdr:col>22</xdr:col>
      <xdr:colOff>133039</xdr:colOff>
      <xdr:row>26</xdr:row>
      <xdr:rowOff>171540</xdr:rowOff>
    </xdr:to>
    <xdr:pic>
      <xdr:nvPicPr>
        <xdr:cNvPr id="15" name="Picture 14">
          <a:extLst>
            <a:ext uri="{FF2B5EF4-FFF2-40B4-BE49-F238E27FC236}">
              <a16:creationId xmlns:a16="http://schemas.microsoft.com/office/drawing/2014/main" id="{05B44699-D819-F34D-84F2-B66CA266F5CC}"/>
            </a:ext>
          </a:extLst>
        </xdr:cNvPr>
        <xdr:cNvPicPr>
          <a:picLocks noChangeAspect="1"/>
        </xdr:cNvPicPr>
      </xdr:nvPicPr>
      <xdr:blipFill>
        <a:blip xmlns:r="http://schemas.openxmlformats.org/officeDocument/2006/relationships" r:embed="rId5"/>
        <a:stretch>
          <a:fillRect/>
        </a:stretch>
      </xdr:blipFill>
      <xdr:spPr>
        <a:xfrm>
          <a:off x="11091211" y="4021126"/>
          <a:ext cx="6087768" cy="938412"/>
        </a:xfrm>
        <a:prstGeom prst="rect">
          <a:avLst/>
        </a:prstGeom>
      </xdr:spPr>
    </xdr:pic>
    <xdr:clientData/>
  </xdr:twoCellAnchor>
  <xdr:twoCellAnchor>
    <xdr:from>
      <xdr:col>16</xdr:col>
      <xdr:colOff>176321</xdr:colOff>
      <xdr:row>15</xdr:row>
      <xdr:rowOff>61545</xdr:rowOff>
    </xdr:from>
    <xdr:to>
      <xdr:col>19</xdr:col>
      <xdr:colOff>462070</xdr:colOff>
      <xdr:row>17</xdr:row>
      <xdr:rowOff>42496</xdr:rowOff>
    </xdr:to>
    <xdr:sp macro="" textlink="">
      <xdr:nvSpPr>
        <xdr:cNvPr id="16" name="Rectangle 15">
          <a:extLst>
            <a:ext uri="{FF2B5EF4-FFF2-40B4-BE49-F238E27FC236}">
              <a16:creationId xmlns:a16="http://schemas.microsoft.com/office/drawing/2014/main" id="{C63D96B2-A115-430E-8894-76C1FA6A0EC7}"/>
            </a:ext>
          </a:extLst>
        </xdr:cNvPr>
        <xdr:cNvSpPr/>
      </xdr:nvSpPr>
      <xdr:spPr>
        <a:xfrm>
          <a:off x="13401417" y="2809141"/>
          <a:ext cx="2198076" cy="347297"/>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a:solidFill>
                <a:schemeClr val="tx1"/>
              </a:solidFill>
              <a:effectLst/>
              <a:latin typeface="+mn-lt"/>
              <a:ea typeface="+mn-ea"/>
              <a:cs typeface="+mn-cs"/>
            </a:rPr>
            <a:t>Battery Arc Voltage </a:t>
          </a:r>
          <a:endParaRPr lang="en-US" sz="1100" b="1">
            <a:solidFill>
              <a:schemeClr val="tx1"/>
            </a:solidFill>
            <a:effectLst/>
            <a:latin typeface="+mn-lt"/>
            <a:ea typeface="+mn-ea"/>
            <a:cs typeface="+mn-cs"/>
          </a:endParaRPr>
        </a:p>
      </xdr:txBody>
    </xdr:sp>
    <xdr:clientData/>
  </xdr:twoCellAnchor>
  <xdr:twoCellAnchor>
    <xdr:from>
      <xdr:col>16</xdr:col>
      <xdr:colOff>595421</xdr:colOff>
      <xdr:row>18</xdr:row>
      <xdr:rowOff>111729</xdr:rowOff>
    </xdr:from>
    <xdr:to>
      <xdr:col>19</xdr:col>
      <xdr:colOff>462070</xdr:colOff>
      <xdr:row>20</xdr:row>
      <xdr:rowOff>81900</xdr:rowOff>
    </xdr:to>
    <xdr:sp macro="" textlink="">
      <xdr:nvSpPr>
        <xdr:cNvPr id="17" name="Rectangle 16">
          <a:extLst>
            <a:ext uri="{FF2B5EF4-FFF2-40B4-BE49-F238E27FC236}">
              <a16:creationId xmlns:a16="http://schemas.microsoft.com/office/drawing/2014/main" id="{E923BC65-A10E-42AF-A79A-BF52443B40A2}"/>
            </a:ext>
          </a:extLst>
        </xdr:cNvPr>
        <xdr:cNvSpPr/>
      </xdr:nvSpPr>
      <xdr:spPr>
        <a:xfrm>
          <a:off x="13820517" y="3408844"/>
          <a:ext cx="1778976" cy="343844"/>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800" b="1">
              <a:solidFill>
                <a:schemeClr val="tx1"/>
              </a:solidFill>
              <a:effectLst/>
              <a:latin typeface="+mn-lt"/>
              <a:ea typeface="+mn-ea"/>
              <a:cs typeface="+mn-cs"/>
            </a:rPr>
            <a:t>Air Arc Voltage </a:t>
          </a:r>
          <a:endParaRPr lang="en-US" sz="1100" b="1">
            <a:solidFill>
              <a:schemeClr val="tx1"/>
            </a:solidFill>
            <a:effectLst/>
            <a:latin typeface="+mn-lt"/>
            <a:ea typeface="+mn-ea"/>
            <a:cs typeface="+mn-cs"/>
          </a:endParaRPr>
        </a:p>
      </xdr:txBody>
    </xdr:sp>
    <xdr:clientData/>
  </xdr:twoCellAnchor>
  <xdr:twoCellAnchor editAs="oneCell">
    <xdr:from>
      <xdr:col>12</xdr:col>
      <xdr:colOff>368805</xdr:colOff>
      <xdr:row>26</xdr:row>
      <xdr:rowOff>158690</xdr:rowOff>
    </xdr:from>
    <xdr:to>
      <xdr:col>22</xdr:col>
      <xdr:colOff>189736</xdr:colOff>
      <xdr:row>34</xdr:row>
      <xdr:rowOff>77820</xdr:rowOff>
    </xdr:to>
    <xdr:pic>
      <xdr:nvPicPr>
        <xdr:cNvPr id="18" name="Picture 17">
          <a:extLst>
            <a:ext uri="{FF2B5EF4-FFF2-40B4-BE49-F238E27FC236}">
              <a16:creationId xmlns:a16="http://schemas.microsoft.com/office/drawing/2014/main" id="{2EA136E8-5869-761E-A542-39B354B6B893}"/>
            </a:ext>
          </a:extLst>
        </xdr:cNvPr>
        <xdr:cNvPicPr>
          <a:picLocks noChangeAspect="1"/>
        </xdr:cNvPicPr>
      </xdr:nvPicPr>
      <xdr:blipFill>
        <a:blip xmlns:r="http://schemas.openxmlformats.org/officeDocument/2006/relationships" r:embed="rId6"/>
        <a:stretch>
          <a:fillRect/>
        </a:stretch>
      </xdr:blipFill>
      <xdr:spPr>
        <a:xfrm>
          <a:off x="11044132" y="4950498"/>
          <a:ext cx="6191544" cy="1380704"/>
        </a:xfrm>
        <a:prstGeom prst="rect">
          <a:avLst/>
        </a:prstGeom>
      </xdr:spPr>
    </xdr:pic>
    <xdr:clientData/>
  </xdr:twoCellAnchor>
  <xdr:twoCellAnchor>
    <xdr:from>
      <xdr:col>0</xdr:col>
      <xdr:colOff>53153</xdr:colOff>
      <xdr:row>55</xdr:row>
      <xdr:rowOff>90409</xdr:rowOff>
    </xdr:from>
    <xdr:to>
      <xdr:col>10</xdr:col>
      <xdr:colOff>183035</xdr:colOff>
      <xdr:row>62</xdr:row>
      <xdr:rowOff>153865</xdr:rowOff>
    </xdr:to>
    <xdr:sp macro="" textlink="">
      <xdr:nvSpPr>
        <xdr:cNvPr id="3" name="Rectangle 2">
          <a:extLst>
            <a:ext uri="{FF2B5EF4-FFF2-40B4-BE49-F238E27FC236}">
              <a16:creationId xmlns:a16="http://schemas.microsoft.com/office/drawing/2014/main" id="{9F7F9742-C46F-40BC-A0EA-62883BB1BD99}"/>
            </a:ext>
          </a:extLst>
        </xdr:cNvPr>
        <xdr:cNvSpPr/>
      </xdr:nvSpPr>
      <xdr:spPr>
        <a:xfrm>
          <a:off x="53153" y="8897371"/>
          <a:ext cx="8852584" cy="1396956"/>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baseline="0">
              <a:solidFill>
                <a:schemeClr val="tx1"/>
              </a:solidFill>
              <a:effectLst/>
              <a:latin typeface="+mn-lt"/>
              <a:ea typeface="+mn-ea"/>
              <a:cs typeface="+mn-cs"/>
            </a:rPr>
            <a:t>Funding Statement</a:t>
          </a:r>
        </a:p>
        <a:p>
          <a:r>
            <a:rPr lang="en-US" sz="1100" b="0" i="1">
              <a:solidFill>
                <a:schemeClr val="tx1"/>
              </a:solidFill>
              <a:effectLst/>
              <a:latin typeface="+mn-lt"/>
              <a:ea typeface="+mn-ea"/>
              <a:cs typeface="+mn-cs"/>
            </a:rPr>
            <a:t>This article has been authored by an employee of National Technology &amp; Engineering Solutions of Sandia, LLC under Contract No. DE-NA0003525 with the U.S. Department of Energy (DOE). The employee owns all right, title and interest in and to the article and is solely responsible for its contents. The United States Government retains and the publisher, by accepting the article for publication, acknowledges that the United States Government retains a non-exclusive, paid-up, irrevocable, world-wide license to publish or reproduce the published form of this article or allow others to do so, for United States Government purposes. The DOE will provide public access to these results of federally sponsored research in accordance with the DOE Public Access Plan </a:t>
          </a:r>
          <a:r>
            <a:rPr lang="en-US" sz="1100" b="0" i="1">
              <a:solidFill>
                <a:schemeClr val="lt1"/>
              </a:solidFill>
              <a:effectLst/>
              <a:latin typeface="+mn-lt"/>
              <a:ea typeface="+mn-ea"/>
              <a:cs typeface="+mn-cs"/>
              <a:hlinkClick xmlns:r="http://schemas.openxmlformats.org/officeDocument/2006/relationships" r:id=""/>
            </a:rPr>
            <a:t>https://www.energy.gov/downloads/doe-public-access-plan</a:t>
          </a:r>
          <a:r>
            <a:rPr lang="en-US" sz="1100" b="0" i="1">
              <a:solidFill>
                <a:schemeClr val="lt1"/>
              </a:solidFill>
              <a:effectLst/>
              <a:latin typeface="+mn-lt"/>
              <a:ea typeface="+mn-ea"/>
              <a:cs typeface="+mn-cs"/>
            </a:rPr>
            <a:t> .</a:t>
          </a:r>
          <a:endParaRPr lang="en-US" sz="1100" baseline="0">
            <a:solidFill>
              <a:schemeClr val="tx1"/>
            </a:solidFill>
            <a:effectLst/>
            <a:latin typeface="+mn-lt"/>
            <a:ea typeface="+mn-ea"/>
            <a:cs typeface="+mn-cs"/>
          </a:endParaRPr>
        </a:p>
      </xdr:txBody>
    </xdr:sp>
    <xdr:clientData/>
  </xdr:twoCellAnchor>
  <xdr:twoCellAnchor editAs="oneCell">
    <xdr:from>
      <xdr:col>10</xdr:col>
      <xdr:colOff>307484</xdr:colOff>
      <xdr:row>55</xdr:row>
      <xdr:rowOff>168274</xdr:rowOff>
    </xdr:from>
    <xdr:to>
      <xdr:col>13</xdr:col>
      <xdr:colOff>306531</xdr:colOff>
      <xdr:row>58</xdr:row>
      <xdr:rowOff>57956</xdr:rowOff>
    </xdr:to>
    <xdr:pic>
      <xdr:nvPicPr>
        <xdr:cNvPr id="7" name="Picture 6">
          <a:extLst>
            <a:ext uri="{FF2B5EF4-FFF2-40B4-BE49-F238E27FC236}">
              <a16:creationId xmlns:a16="http://schemas.microsoft.com/office/drawing/2014/main" id="{6C717A6F-1789-D157-7DBB-7792305EFDD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030186" y="8975236"/>
          <a:ext cx="1819641" cy="457371"/>
        </a:xfrm>
        <a:prstGeom prst="rect">
          <a:avLst/>
        </a:prstGeom>
      </xdr:spPr>
    </xdr:pic>
    <xdr:clientData/>
  </xdr:twoCellAnchor>
  <xdr:twoCellAnchor editAs="oneCell">
    <xdr:from>
      <xdr:col>10</xdr:col>
      <xdr:colOff>307484</xdr:colOff>
      <xdr:row>59</xdr:row>
      <xdr:rowOff>20833</xdr:rowOff>
    </xdr:from>
    <xdr:to>
      <xdr:col>13</xdr:col>
      <xdr:colOff>304626</xdr:colOff>
      <xdr:row>62</xdr:row>
      <xdr:rowOff>568</xdr:rowOff>
    </xdr:to>
    <xdr:pic>
      <xdr:nvPicPr>
        <xdr:cNvPr id="20" name="Picture 19">
          <a:extLst>
            <a:ext uri="{FF2B5EF4-FFF2-40B4-BE49-F238E27FC236}">
              <a16:creationId xmlns:a16="http://schemas.microsoft.com/office/drawing/2014/main" id="{04A887EB-BAA9-6805-E2C4-5BC9F83D1286}"/>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9030186" y="9589795"/>
          <a:ext cx="1821546" cy="546855"/>
        </a:xfrm>
        <a:prstGeom prst="rect">
          <a:avLst/>
        </a:prstGeom>
      </xdr:spPr>
    </xdr:pic>
    <xdr:clientData/>
  </xdr:twoCellAnchor>
  <xdr:twoCellAnchor editAs="oneCell">
    <xdr:from>
      <xdr:col>4</xdr:col>
      <xdr:colOff>574182</xdr:colOff>
      <xdr:row>0</xdr:row>
      <xdr:rowOff>183437</xdr:rowOff>
    </xdr:from>
    <xdr:to>
      <xdr:col>9</xdr:col>
      <xdr:colOff>248065</xdr:colOff>
      <xdr:row>4</xdr:row>
      <xdr:rowOff>171722</xdr:rowOff>
    </xdr:to>
    <xdr:pic>
      <xdr:nvPicPr>
        <xdr:cNvPr id="22" name="Picture 21">
          <a:extLst>
            <a:ext uri="{FF2B5EF4-FFF2-40B4-BE49-F238E27FC236}">
              <a16:creationId xmlns:a16="http://schemas.microsoft.com/office/drawing/2014/main" id="{1DA1FA4D-7698-ACD0-48D8-C2D42805C46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06734" y="183437"/>
          <a:ext cx="2713693" cy="745709"/>
        </a:xfrm>
        <a:prstGeom prst="rect">
          <a:avLst/>
        </a:prstGeom>
      </xdr:spPr>
    </xdr:pic>
    <xdr:clientData/>
  </xdr:twoCellAnchor>
  <xdr:twoCellAnchor>
    <xdr:from>
      <xdr:col>0</xdr:col>
      <xdr:colOff>65485</xdr:colOff>
      <xdr:row>63</xdr:row>
      <xdr:rowOff>20003</xdr:rowOff>
    </xdr:from>
    <xdr:to>
      <xdr:col>10</xdr:col>
      <xdr:colOff>189652</xdr:colOff>
      <xdr:row>75</xdr:row>
      <xdr:rowOff>59531</xdr:rowOff>
    </xdr:to>
    <xdr:sp macro="" textlink="">
      <xdr:nvSpPr>
        <xdr:cNvPr id="6" name="Rectangle 5">
          <a:extLst>
            <a:ext uri="{FF2B5EF4-FFF2-40B4-BE49-F238E27FC236}">
              <a16:creationId xmlns:a16="http://schemas.microsoft.com/office/drawing/2014/main" id="{F6953E36-F6B4-42FC-9505-95FD361B49C9}"/>
            </a:ext>
          </a:extLst>
        </xdr:cNvPr>
        <xdr:cNvSpPr/>
      </xdr:nvSpPr>
      <xdr:spPr>
        <a:xfrm>
          <a:off x="65485" y="11319034"/>
          <a:ext cx="9518198" cy="2182653"/>
        </a:xfrm>
        <a:prstGeom prst="rect">
          <a:avLst/>
        </a:prstGeom>
        <a:solidFill>
          <a:schemeClr val="bg1"/>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100" b="1" i="0" baseline="0">
              <a:solidFill>
                <a:schemeClr val="tx1"/>
              </a:solidFill>
              <a:effectLst/>
              <a:latin typeface="+mn-lt"/>
              <a:ea typeface="+mn-ea"/>
              <a:cs typeface="+mn-cs"/>
            </a:rPr>
            <a:t>MIT Open Source Software License</a:t>
          </a:r>
        </a:p>
        <a:p>
          <a:r>
            <a:rPr lang="en-US" sz="1100" b="0" i="1">
              <a:solidFill>
                <a:schemeClr val="tx1"/>
              </a:solidFill>
              <a:effectLst/>
              <a:latin typeface="+mn-lt"/>
              <a:ea typeface="+mn-ea"/>
              <a:cs typeface="+mn-cs"/>
            </a:rPr>
            <a:t>Copyright</a:t>
          </a:r>
          <a:r>
            <a:rPr lang="en-US" sz="1100" b="0" i="1" baseline="0">
              <a:solidFill>
                <a:schemeClr val="tx1"/>
              </a:solidFill>
              <a:effectLst/>
              <a:latin typeface="+mn-lt"/>
              <a:ea typeface="+mn-ea"/>
              <a:cs typeface="+mn-cs"/>
            </a:rPr>
            <a:t> 2024</a:t>
          </a:r>
          <a:r>
            <a:rPr lang="en-US" sz="1100" b="0" i="1">
              <a:solidFill>
                <a:schemeClr val="tx1"/>
              </a:solidFill>
              <a:effectLst/>
              <a:latin typeface="+mn-lt"/>
              <a:ea typeface="+mn-ea"/>
              <a:cs typeface="+mn-cs"/>
            </a:rPr>
            <a:t> National Technology &amp; Engineering Solutions of Sandia, LLC (NTESS). Under the terms of Contract DE-NA0003525 with NTESS, the U.S. Government retains certain rights in this software.</a:t>
          </a:r>
        </a:p>
        <a:p>
          <a:endParaRPr lang="en-US" sz="1100" b="0" i="1">
            <a:solidFill>
              <a:schemeClr val="tx1"/>
            </a:solidFill>
            <a:effectLst/>
            <a:latin typeface="+mn-lt"/>
            <a:ea typeface="+mn-ea"/>
            <a:cs typeface="+mn-cs"/>
          </a:endParaRPr>
        </a:p>
        <a:p>
          <a:r>
            <a:rPr lang="en-US" sz="1100" b="0" i="1">
              <a:solidFill>
                <a:schemeClr val="tx1"/>
              </a:solidFill>
              <a:effectLst/>
              <a:latin typeface="+mn-lt"/>
              <a:ea typeface="+mn-ea"/>
              <a:cs typeface="+mn-cs"/>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r>
            <a:rPr lang="en-US" sz="1100" b="0" i="1">
              <a:solidFill>
                <a:schemeClr val="tx1"/>
              </a:solidFill>
              <a:effectLst/>
              <a:latin typeface="+mn-lt"/>
              <a:ea typeface="+mn-ea"/>
              <a:cs typeface="+mn-cs"/>
            </a:rPr>
            <a:t>The above copyright notice and this permission notice shall be included in all copies or substantial portions of the Software.</a:t>
          </a:r>
        </a:p>
        <a:p>
          <a:r>
            <a:rPr lang="en-US" sz="1100" b="0" i="1">
              <a:solidFill>
                <a:schemeClr val="tx1"/>
              </a:solidFill>
              <a:effectLst/>
              <a:latin typeface="+mn-lt"/>
              <a:ea typeface="+mn-ea"/>
              <a:cs typeface="+mn-cs"/>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B670B-F600-4898-B40B-0D50AA7FA3B1}">
  <sheetPr codeName="Sheet1"/>
  <dimension ref="A7:C53"/>
  <sheetViews>
    <sheetView tabSelected="1" zoomScale="130" zoomScaleNormal="130" workbookViewId="0">
      <selection activeCell="D14" sqref="D14"/>
    </sheetView>
  </sheetViews>
  <sheetFormatPr defaultRowHeight="14.4" x14ac:dyDescent="0.55000000000000004"/>
  <cols>
    <col min="1" max="1" width="34" customWidth="1"/>
    <col min="2" max="2" width="20.41796875" customWidth="1"/>
    <col min="3" max="3" width="9.15625" customWidth="1"/>
    <col min="4" max="4" width="13.41796875" customWidth="1"/>
  </cols>
  <sheetData>
    <row r="7" spans="1:3" x14ac:dyDescent="0.55000000000000004">
      <c r="B7" s="2" t="s">
        <v>10</v>
      </c>
    </row>
    <row r="8" spans="1:3" x14ac:dyDescent="0.55000000000000004">
      <c r="B8" s="3" t="s">
        <v>11</v>
      </c>
    </row>
    <row r="9" spans="1:3" x14ac:dyDescent="0.55000000000000004">
      <c r="B9" s="6"/>
    </row>
    <row r="10" spans="1:3" x14ac:dyDescent="0.55000000000000004">
      <c r="A10" s="1" t="s">
        <v>26</v>
      </c>
      <c r="B10" s="12" t="s">
        <v>23</v>
      </c>
      <c r="C10" s="1" t="s">
        <v>22</v>
      </c>
    </row>
    <row r="11" spans="1:3" x14ac:dyDescent="0.55000000000000004">
      <c r="A11" t="s">
        <v>4</v>
      </c>
      <c r="B11" s="11">
        <v>258</v>
      </c>
      <c r="C11" t="s">
        <v>7</v>
      </c>
    </row>
    <row r="12" spans="1:3" x14ac:dyDescent="0.55000000000000004">
      <c r="A12" t="s">
        <v>6</v>
      </c>
      <c r="B12" s="11">
        <v>18700</v>
      </c>
      <c r="C12" t="s">
        <v>8</v>
      </c>
    </row>
    <row r="13" spans="1:3" x14ac:dyDescent="0.55000000000000004">
      <c r="A13" t="s">
        <v>15</v>
      </c>
      <c r="B13" s="14">
        <f>B11/B12</f>
        <v>1.3796791443850267E-2</v>
      </c>
      <c r="C13" s="4" t="s">
        <v>16</v>
      </c>
    </row>
    <row r="14" spans="1:3" x14ac:dyDescent="0.55000000000000004">
      <c r="A14" t="s">
        <v>24</v>
      </c>
      <c r="B14" s="7">
        <v>2</v>
      </c>
      <c r="C14" s="5" t="s">
        <v>20</v>
      </c>
    </row>
    <row r="15" spans="1:3" x14ac:dyDescent="0.55000000000000004">
      <c r="A15" t="s">
        <v>49</v>
      </c>
      <c r="B15" s="7">
        <v>45.72</v>
      </c>
      <c r="C15" s="5" t="s">
        <v>39</v>
      </c>
    </row>
    <row r="16" spans="1:3" x14ac:dyDescent="0.55000000000000004">
      <c r="A16" t="s">
        <v>12</v>
      </c>
      <c r="B16" s="7">
        <v>20</v>
      </c>
      <c r="C16" t="s">
        <v>13</v>
      </c>
    </row>
    <row r="17" spans="1:3" x14ac:dyDescent="0.55000000000000004">
      <c r="A17" s="13" t="s">
        <v>25</v>
      </c>
      <c r="B17" s="7">
        <v>1</v>
      </c>
      <c r="C17" t="s">
        <v>31</v>
      </c>
    </row>
    <row r="18" spans="1:3" x14ac:dyDescent="0.55000000000000004">
      <c r="B18" s="6"/>
    </row>
    <row r="19" spans="1:3" x14ac:dyDescent="0.55000000000000004">
      <c r="A19" s="1" t="s">
        <v>46</v>
      </c>
      <c r="B19" s="12" t="s">
        <v>23</v>
      </c>
      <c r="C19" s="1" t="s">
        <v>22</v>
      </c>
    </row>
    <row r="20" spans="1:3" ht="14.7" thickBot="1" x14ac:dyDescent="0.6">
      <c r="A20" t="s">
        <v>18</v>
      </c>
      <c r="B20" s="9">
        <v>11846.564104089081</v>
      </c>
      <c r="C20" t="s">
        <v>8</v>
      </c>
    </row>
    <row r="21" spans="1:3" ht="14.7" thickTop="1" x14ac:dyDescent="0.55000000000000004">
      <c r="A21" t="s">
        <v>32</v>
      </c>
      <c r="B21" s="10">
        <f>B11-B20*B13</f>
        <v>94.555425729680081</v>
      </c>
      <c r="C21" t="s">
        <v>7</v>
      </c>
    </row>
    <row r="22" spans="1:3" x14ac:dyDescent="0.55000000000000004">
      <c r="A22" t="s">
        <v>33</v>
      </c>
      <c r="B22" s="10">
        <f>(20+0.534*B16)*(B20^0.12)</f>
        <v>94.555423548683763</v>
      </c>
      <c r="C22" t="s">
        <v>7</v>
      </c>
    </row>
    <row r="23" spans="1:3" ht="14.7" thickBot="1" x14ac:dyDescent="0.6">
      <c r="A23" t="s">
        <v>17</v>
      </c>
      <c r="B23" s="9">
        <f>B21-B22</f>
        <v>2.1809963186569803E-6</v>
      </c>
      <c r="C23" t="s">
        <v>7</v>
      </c>
    </row>
    <row r="24" spans="1:3" ht="14.7" thickTop="1" x14ac:dyDescent="0.55000000000000004">
      <c r="A24" t="s">
        <v>29</v>
      </c>
      <c r="B24" t="str">
        <f>IF(AND(B23&gt;-0.001,B23&lt;0.001),"Solved","Click Solve")</f>
        <v>Solved</v>
      </c>
    </row>
    <row r="25" spans="1:3" x14ac:dyDescent="0.55000000000000004">
      <c r="B25" t="str">
        <f>IF(B11&gt;150,"Battery Voltage Good", "Battery Voltage &lt;150 V: Low arc flash risk")</f>
        <v>Battery Voltage Good</v>
      </c>
    </row>
    <row r="26" spans="1:3" x14ac:dyDescent="0.55000000000000004">
      <c r="B26" t="str">
        <f>IF(B11&gt;B22,"Arc Voltage Good", "Min Arc Voltage &gt; Max Battery Voltage: Low Arc Flash Hazard")</f>
        <v>Arc Voltage Good</v>
      </c>
    </row>
    <row r="27" spans="1:3" x14ac:dyDescent="0.55000000000000004">
      <c r="B27" t="str">
        <f>IF(B20&gt;10+0.2*B16,"Arc Current Good", "Arc Current &lt; 10 + 0.2*Gap means: Low Arc Flash Risk")</f>
        <v>Arc Current Good</v>
      </c>
    </row>
    <row r="28" spans="1:3" x14ac:dyDescent="0.55000000000000004">
      <c r="B28" s="6"/>
    </row>
    <row r="29" spans="1:3" x14ac:dyDescent="0.55000000000000004">
      <c r="A29" s="1" t="s">
        <v>14</v>
      </c>
      <c r="B29" s="12" t="s">
        <v>23</v>
      </c>
      <c r="C29" s="1" t="s">
        <v>22</v>
      </c>
    </row>
    <row r="30" spans="1:3" x14ac:dyDescent="0.55000000000000004">
      <c r="A30" t="s">
        <v>30</v>
      </c>
      <c r="B30" s="8">
        <f>B17*0.01*B11*(B12/2)*B14/((B15)^2)</f>
        <v>23.080694309536767</v>
      </c>
      <c r="C30" t="s">
        <v>21</v>
      </c>
    </row>
    <row r="31" spans="1:3" x14ac:dyDescent="0.55000000000000004">
      <c r="A31" t="s">
        <v>36</v>
      </c>
      <c r="B31" s="8">
        <f>(B17*0.01*B11*(B12/2)*B14/(1.2))^0.5</f>
        <v>200.51184503664615</v>
      </c>
      <c r="C31" t="s">
        <v>39</v>
      </c>
    </row>
    <row r="32" spans="1:3" x14ac:dyDescent="0.55000000000000004">
      <c r="A32" t="s">
        <v>37</v>
      </c>
      <c r="B32" s="8">
        <f>B17*B50*B51*B22*B20*B14/((B15)^2)</f>
        <v>20.383766804770044</v>
      </c>
      <c r="C32" t="s">
        <v>21</v>
      </c>
    </row>
    <row r="33" spans="1:3" x14ac:dyDescent="0.55000000000000004">
      <c r="A33" t="s">
        <v>38</v>
      </c>
      <c r="B33" s="8">
        <f>(B17*B50*B51*B22*B20*B14/(1.2))^0.5</f>
        <v>188.43337198534311</v>
      </c>
      <c r="C33" t="s">
        <v>39</v>
      </c>
    </row>
    <row r="34" spans="1:3" x14ac:dyDescent="0.55000000000000004">
      <c r="A34" t="s">
        <v>40</v>
      </c>
      <c r="B34" s="17">
        <f>(B11^2)/(2*B13)</f>
        <v>2412300</v>
      </c>
      <c r="C34" t="s">
        <v>41</v>
      </c>
    </row>
    <row r="35" spans="1:3" x14ac:dyDescent="0.55000000000000004">
      <c r="A35" t="s">
        <v>42</v>
      </c>
      <c r="B35" s="8" t="str">
        <f>IF(B34&lt;30000,IF(B34&lt;1000,"None","Light Duty Leather Gloves"),"Heavy Duty Leather Gloves")</f>
        <v>Heavy Duty Leather Gloves</v>
      </c>
    </row>
    <row r="36" spans="1:3" x14ac:dyDescent="0.55000000000000004">
      <c r="A36" t="s">
        <v>43</v>
      </c>
      <c r="B36" s="18" t="str">
        <f>IF(B11&lt;1000,IF(B11&lt;100,"Not Spesified","1 m"),"1.5 m")</f>
        <v>1 m</v>
      </c>
    </row>
    <row r="37" spans="1:3" x14ac:dyDescent="0.55000000000000004">
      <c r="A37" t="s">
        <v>44</v>
      </c>
      <c r="B37" s="18" t="str">
        <f>IF(B11&lt;1000,IF(B11&lt;300,IF(B11&lt;100,"Not Spesified","Avoid Contact"),"0.3 m"),"0.5 m")</f>
        <v>Avoid Contact</v>
      </c>
    </row>
    <row r="38" spans="1:3" x14ac:dyDescent="0.55000000000000004">
      <c r="A38" t="s">
        <v>45</v>
      </c>
      <c r="B38" s="19" t="str">
        <f>IF(B11&lt;1500,IF(B11&lt;750,IF(B11&lt;100,"Not Spesified","Class 00 Gloves + Leather Outers"),"Class 0 Gloves + Leather Outers"),"Class 1 Gloves + Leather Outers")</f>
        <v>Class 00 Gloves + Leather Outers</v>
      </c>
    </row>
    <row r="39" spans="1:3" x14ac:dyDescent="0.55000000000000004">
      <c r="B39" s="6"/>
    </row>
    <row r="40" spans="1:3" x14ac:dyDescent="0.55000000000000004">
      <c r="A40" s="1" t="s">
        <v>5</v>
      </c>
      <c r="B40" s="12" t="s">
        <v>23</v>
      </c>
      <c r="C40" s="1" t="s">
        <v>22</v>
      </c>
    </row>
    <row r="41" spans="1:3" x14ac:dyDescent="0.55000000000000004">
      <c r="A41" t="s">
        <v>0</v>
      </c>
      <c r="B41" s="15">
        <v>8.5237999999999999E-5</v>
      </c>
      <c r="C41" s="4" t="s">
        <v>16</v>
      </c>
    </row>
    <row r="42" spans="1:3" x14ac:dyDescent="0.55000000000000004">
      <c r="A42" t="s">
        <v>34</v>
      </c>
      <c r="B42" s="11">
        <v>240</v>
      </c>
      <c r="C42" t="s">
        <v>19</v>
      </c>
    </row>
    <row r="43" spans="1:3" x14ac:dyDescent="0.55000000000000004">
      <c r="A43" t="s">
        <v>1</v>
      </c>
      <c r="B43" s="15">
        <v>1.0000000000000001E-5</v>
      </c>
      <c r="C43" s="4" t="s">
        <v>16</v>
      </c>
    </row>
    <row r="44" spans="1:3" x14ac:dyDescent="0.55000000000000004">
      <c r="A44" t="s">
        <v>2</v>
      </c>
      <c r="B44" s="11">
        <v>240</v>
      </c>
      <c r="C44" s="5" t="s">
        <v>19</v>
      </c>
    </row>
    <row r="45" spans="1:3" x14ac:dyDescent="0.55000000000000004">
      <c r="A45" t="s">
        <v>35</v>
      </c>
      <c r="B45" s="11">
        <v>1</v>
      </c>
      <c r="C45" s="5" t="s">
        <v>19</v>
      </c>
    </row>
    <row r="46" spans="1:3" x14ac:dyDescent="0.55000000000000004">
      <c r="A46" t="s">
        <v>9</v>
      </c>
      <c r="B46" s="8">
        <f>(B41*B42+B43*B44)/B45</f>
        <v>2.2857119999999998E-2</v>
      </c>
      <c r="C46" s="4" t="s">
        <v>16</v>
      </c>
    </row>
    <row r="47" spans="1:3" x14ac:dyDescent="0.55000000000000004">
      <c r="A47" t="s">
        <v>3</v>
      </c>
      <c r="B47" s="16">
        <f>B11/B46</f>
        <v>11287.511287511288</v>
      </c>
      <c r="C47" s="4" t="s">
        <v>8</v>
      </c>
    </row>
    <row r="48" spans="1:3" x14ac:dyDescent="0.55000000000000004">
      <c r="B48" s="6"/>
    </row>
    <row r="49" spans="1:2" x14ac:dyDescent="0.55000000000000004">
      <c r="A49" s="1" t="s">
        <v>27</v>
      </c>
      <c r="B49" s="6"/>
    </row>
    <row r="50" spans="1:2" x14ac:dyDescent="0.55000000000000004">
      <c r="A50" t="s">
        <v>48</v>
      </c>
      <c r="B50">
        <f>0.239</f>
        <v>0.23899999999999999</v>
      </c>
    </row>
    <row r="51" spans="1:2" x14ac:dyDescent="0.55000000000000004">
      <c r="A51" t="s">
        <v>47</v>
      </c>
      <c r="B51">
        <f>1/(4*3.141592654)</f>
        <v>7.9577471535557012E-2</v>
      </c>
    </row>
    <row r="52" spans="1:2" x14ac:dyDescent="0.55000000000000004">
      <c r="A52" t="s">
        <v>28</v>
      </c>
      <c r="B52" s="6">
        <v>2.54</v>
      </c>
    </row>
    <row r="53" spans="1:2" x14ac:dyDescent="0.55000000000000004">
      <c r="B53" s="6"/>
    </row>
  </sheetData>
  <conditionalFormatting sqref="B27">
    <cfRule type="notContainsText" dxfId="7" priority="5" operator="notContains" text="Arc Current Good">
      <formula>ISERROR(SEARCH("Arc Current Good",B27))</formula>
    </cfRule>
    <cfRule type="containsText" dxfId="6" priority="8" operator="containsText" text="Arc Current Good">
      <formula>NOT(ISERROR(SEARCH("Arc Current Good",B27)))</formula>
    </cfRule>
  </conditionalFormatting>
  <conditionalFormatting sqref="B26">
    <cfRule type="notContainsText" dxfId="5" priority="4" operator="notContains" text="Arc Voltage Good">
      <formula>ISERROR(SEARCH("Arc Voltage Good",B26))</formula>
    </cfRule>
    <cfRule type="containsText" dxfId="4" priority="7" operator="containsText" text="Arc Voltage Good">
      <formula>NOT(ISERROR(SEARCH("Arc Voltage Good",B26)))</formula>
    </cfRule>
  </conditionalFormatting>
  <conditionalFormatting sqref="B25">
    <cfRule type="notContainsText" dxfId="3" priority="3" operator="notContains" text="Battery Voltage Good">
      <formula>ISERROR(SEARCH("Battery Voltage Good",B25))</formula>
    </cfRule>
    <cfRule type="containsText" dxfId="2" priority="6" operator="containsText" text="Battery Voltage Good">
      <formula>NOT(ISERROR(SEARCH("Battery Voltage Good",B25)))</formula>
    </cfRule>
  </conditionalFormatting>
  <conditionalFormatting sqref="B24">
    <cfRule type="notContainsText" dxfId="1" priority="1" operator="notContains" text="Solved">
      <formula>ISERROR(SEARCH("Solved",B24))</formula>
    </cfRule>
    <cfRule type="containsText" dxfId="0" priority="2" operator="containsText" text="Solved">
      <formula>NOT(ISERROR(SEARCH("Solved",B24)))</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Rosewater, David Martin</dc:creator>
  <cp:lastModifiedBy>Rosewater, David Martin</cp:lastModifiedBy>
  <dcterms:created xsi:type="dcterms:W3CDTF">2024-08-19T18:13:56Z</dcterms:created>
  <dcterms:modified xsi:type="dcterms:W3CDTF">2024-10-17T18:56:30Z</dcterms:modified>
</cp:coreProperties>
</file>